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ario" sheetId="1" state="visible" r:id="rId3"/>
    <sheet name="Pakastin" sheetId="2" state="visible" r:id="rId4"/>
    <sheet name="Yhteenveto" sheetId="3" state="visible" r:id="rId5"/>
  </sheets>
  <definedNames>
    <definedName function="false" hidden="true" localSheetId="0" name="_xlnm._FilterDatabase" vbProcedure="false">Inventaario!$A$1:$I$49</definedName>
    <definedName function="false" hidden="true" localSheetId="1" name="_xlnm._FilterDatabase" vbProcedure="false">Pakastin!$A$1:$H$19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<sst xmlns="http://schemas.openxmlformats.org/spreadsheetml/2006/main" count="321" uniqueCount="156">
  <si>
    <t xml:space="preserve">Kategoria</t>
  </si>
  <si>
    <t xml:space="preserve">Tuote</t>
  </si>
  <si>
    <t xml:space="preserve">Merkki</t>
  </si>
  <si>
    <t xml:space="preserve">Pakkauskoko (g)</t>
  </si>
  <si>
    <t xml:space="preserve">Pakkauksia</t>
  </si>
  <si>
    <t xml:space="preserve">Tila</t>
  </si>
  <si>
    <t xml:space="preserve">Jäljellä (g)</t>
  </si>
  <si>
    <t xml:space="preserve">Parasta ennen</t>
  </si>
  <si>
    <t xml:space="preserve">Huomiot</t>
  </si>
  <si>
    <t xml:space="preserve">Pastat ja nuudelit</t>
  </si>
  <si>
    <t xml:space="preserve">Lasagnelevyt</t>
  </si>
  <si>
    <t xml:space="preserve">Coop</t>
  </si>
  <si>
    <t xml:space="preserve">Avaamaton</t>
  </si>
  <si>
    <t xml:space="preserve">Durumvehnä + kananmuna</t>
  </si>
  <si>
    <t xml:space="preserve">Pikamakaroni</t>
  </si>
  <si>
    <t xml:space="preserve">Coop Xtra</t>
  </si>
  <si>
    <t xml:space="preserve">Avattu</t>
  </si>
  <si>
    <t xml:space="preserve">Fusilli No. 48</t>
  </si>
  <si>
    <t xml:space="preserve">Rummo</t>
  </si>
  <si>
    <t xml:space="preserve">Täysjyvä rakettispagetti</t>
  </si>
  <si>
    <t xml:space="preserve">Myllyn Paras</t>
  </si>
  <si>
    <t xml:space="preserve">Tumma makaroni</t>
  </si>
  <si>
    <t xml:space="preserve">Eggnoodles</t>
  </si>
  <si>
    <t xml:space="preserve">Coop Taste of Asia</t>
  </si>
  <si>
    <t xml:space="preserve">Riisinuudelit</t>
  </si>
  <si>
    <t xml:space="preserve">Bánh Phở -riisinuudeli</t>
  </si>
  <si>
    <t xml:space="preserve">Chantaboon</t>
  </si>
  <si>
    <t xml:space="preserve">Tuotettu Thaimaassa</t>
  </si>
  <si>
    <t xml:space="preserve">Vehnä-instantnuudelipalat</t>
  </si>
  <si>
    <t xml:space="preserve">3 palaa jäljellä, alkuperäinen pakkaus ei tallessa, paino arvio (~85 g/pala)</t>
  </si>
  <si>
    <t xml:space="preserve">Yakisoba Veggie -instantnuudeli</t>
  </si>
  <si>
    <t xml:space="preserve">1 annospakkaus, paino arvio</t>
  </si>
  <si>
    <t xml:space="preserve">Riisit</t>
  </si>
  <si>
    <t xml:space="preserve">Sushiriisi</t>
  </si>
  <si>
    <t xml:space="preserve">Fukishi</t>
  </si>
  <si>
    <t xml:space="preserve">Pitkäjyväinen riisi (Parboiled)</t>
  </si>
  <si>
    <t xml:space="preserve">Puuroriisi (Grötris)</t>
  </si>
  <si>
    <t xml:space="preserve">Puuroriisi</t>
  </si>
  <si>
    <t xml:space="preserve">Risella</t>
  </si>
  <si>
    <t xml:space="preserve">Jasmiiniriisi</t>
  </si>
  <si>
    <t xml:space="preserve">Preah Vihear</t>
  </si>
  <si>
    <t xml:space="preserve">Cambodia, SRP-sertifioitu</t>
  </si>
  <si>
    <t xml:space="preserve">Jyvät ja muut viljat</t>
  </si>
  <si>
    <t xml:space="preserve">Ohrasuurimo, kokonainen</t>
  </si>
  <si>
    <t xml:space="preserve">Korpelan Mylly</t>
  </si>
  <si>
    <t xml:space="preserve">Kvinoa</t>
  </si>
  <si>
    <t xml:space="preserve">Villikaura (gluteeniton)</t>
  </si>
  <si>
    <t xml:space="preserve">Myllärin</t>
  </si>
  <si>
    <t xml:space="preserve">Couscous</t>
  </si>
  <si>
    <t xml:space="preserve">Hedelmämysli</t>
  </si>
  <si>
    <t xml:space="preserve">Kotimaista</t>
  </si>
  <si>
    <t xml:space="preserve">Mannasuurimo</t>
  </si>
  <si>
    <t xml:space="preserve">Kaurahiutale</t>
  </si>
  <si>
    <t xml:space="preserve">4 viljan hiutale</t>
  </si>
  <si>
    <t xml:space="preserve">Palkokasvit</t>
  </si>
  <si>
    <t xml:space="preserve">Punaiset linssit (säilyke)</t>
  </si>
  <si>
    <t xml:space="preserve">Tölkki; valutettu paino 230 g</t>
  </si>
  <si>
    <t xml:space="preserve">Vihreät linssit (kuivat)</t>
  </si>
  <si>
    <t xml:space="preserve">Vihreä linssi, luomu (kuivat)</t>
  </si>
  <si>
    <t xml:space="preserve">Foodin</t>
  </si>
  <si>
    <t xml:space="preserve">Borlottipavut (säilyke, luomu)</t>
  </si>
  <si>
    <t xml:space="preserve">Coop EKO</t>
  </si>
  <si>
    <t xml:space="preserve">Kikherneet (säilyke)</t>
  </si>
  <si>
    <t xml:space="preserve">Mungpavut (kuivat)</t>
  </si>
  <si>
    <t xml:space="preserve">Go Green</t>
  </si>
  <si>
    <t xml:space="preserve">Päiväys ohi yli vuoden; tarkista haju/hyönteiset</t>
  </si>
  <si>
    <t xml:space="preserve">Keltaiset linssit</t>
  </si>
  <si>
    <t xml:space="preserve">Go Green Svenska</t>
  </si>
  <si>
    <t xml:space="preserve">Päiväys ohi n. 1,5 v; tarkista haju/hyönteiset</t>
  </si>
  <si>
    <t xml:space="preserve">Jauhot</t>
  </si>
  <si>
    <t xml:space="preserve">Vehnäjauho</t>
  </si>
  <si>
    <t xml:space="preserve">Kikhernejauho, luomu</t>
  </si>
  <si>
    <t xml:space="preserve">Säilyketomaatit</t>
  </si>
  <si>
    <t xml:space="preserve">Tomaattimurska, maustamaton</t>
  </si>
  <si>
    <t xml:space="preserve">2 pakkausta</t>
  </si>
  <si>
    <t xml:space="preserve">Tomaattimurska, maustamaton (luomu)</t>
  </si>
  <si>
    <t xml:space="preserve">Aasialaiset / umami</t>
  </si>
  <si>
    <t xml:space="preserve">Sushi nori, paahdettu</t>
  </si>
  <si>
    <t xml:space="preserve">Asian Food Service</t>
  </si>
  <si>
    <t xml:space="preserve">50 levyä alkuperäisessä</t>
  </si>
  <si>
    <t xml:space="preserve">Shiitake-sienet, kuivatut</t>
  </si>
  <si>
    <t xml:space="preserve">Katsuobushi (bonitohiutaleet)</t>
  </si>
  <si>
    <t xml:space="preserve">Daewang</t>
  </si>
  <si>
    <t xml:space="preserve">Dashi-liemen ainekset</t>
  </si>
  <si>
    <t xml:space="preserve">Kombu (merilevätikku)</t>
  </si>
  <si>
    <t xml:space="preserve">6 tikkua jäljellä; pakkauskoko ei tiedossa; dashi-liemen ainekset</t>
  </si>
  <si>
    <t xml:space="preserve">Siemenet</t>
  </si>
  <si>
    <t xml:space="preserve">Seesaminsiemenet, luomu</t>
  </si>
  <si>
    <t xml:space="preserve">Sesamfrö</t>
  </si>
  <si>
    <t xml:space="preserve">Auringonkukansiemenet</t>
  </si>
  <si>
    <t xml:space="preserve">Useita avattuja pusseja yhteensä: Solsikkekerner 375 g, Solros 400 g + irtopussi</t>
  </si>
  <si>
    <t xml:space="preserve">Muut</t>
  </si>
  <si>
    <t xml:space="preserve">Tortillat (vehnä)</t>
  </si>
  <si>
    <t xml:space="preserve">8 kpl per pussi; 2 pussia</t>
  </si>
  <si>
    <t xml:space="preserve">Soijasuikaleet</t>
  </si>
  <si>
    <t xml:space="preserve">Soyappétit</t>
  </si>
  <si>
    <t xml:space="preserve">Päiväys ohi n. 6 vk; runsasproteiininen, Serbia</t>
  </si>
  <si>
    <t xml:space="preserve">Tumma soijarouhe (gluteeniton)</t>
  </si>
  <si>
    <t xml:space="preserve">VegeSun</t>
  </si>
  <si>
    <t xml:space="preserve">Runsasproteiininen, runsaskuitunen</t>
  </si>
  <si>
    <t xml:space="preserve">Tiivistetty maito, makeutettu</t>
  </si>
  <si>
    <t xml:space="preserve">Toesleffs</t>
  </si>
  <si>
    <t xml:space="preserve">Säilyketölkki; 45 % sokeria</t>
  </si>
  <si>
    <t xml:space="preserve">Paahdettu sipulirouhe</t>
  </si>
  <si>
    <t xml:space="preserve">Klassinen</t>
  </si>
  <si>
    <t xml:space="preserve">Rostad lök; lähes täysi</t>
  </si>
  <si>
    <t xml:space="preserve">Ravintohiivahiutaleet</t>
  </si>
  <si>
    <t xml:space="preserve">Marigold Engevita</t>
  </si>
  <si>
    <t xml:space="preserve">Savoury Yeast Flakes</t>
  </si>
  <si>
    <t xml:space="preserve">Mantelivoi</t>
  </si>
  <si>
    <t xml:space="preserve">Amona Almond Butter</t>
  </si>
  <si>
    <t xml:space="preserve">Vegaani; ei lisättyä sokeria/suolaa/palmuöljyä</t>
  </si>
  <si>
    <t xml:space="preserve">Yhteensä jäljellä:</t>
  </si>
  <si>
    <t xml:space="preserve">Määrä</t>
  </si>
  <si>
    <t xml:space="preserve">Yksikkö</t>
  </si>
  <si>
    <t xml:space="preserve">Pakastettu pvm</t>
  </si>
  <si>
    <t xml:space="preserve">Sienet</t>
  </si>
  <si>
    <t xml:space="preserve">Kantarelli</t>
  </si>
  <si>
    <t xml:space="preserve">g</t>
  </si>
  <si>
    <t xml:space="preserve">Useita pakastepusseja</t>
  </si>
  <si>
    <t xml:space="preserve">Korvasieni</t>
  </si>
  <si>
    <t xml:space="preserve">Esikäsittele huolellisesti ennen käyttöä (kaksi keittoa, vesi pois)</t>
  </si>
  <si>
    <t xml:space="preserve">Marjat ja hedelmät</t>
  </si>
  <si>
    <t xml:space="preserve">Punaherukka</t>
  </si>
  <si>
    <t xml:space="preserve">Omenasiivut</t>
  </si>
  <si>
    <t xml:space="preserve">Pakastevihannekset</t>
  </si>
  <si>
    <t xml:space="preserve">Ohuet vihreät pavut (haricots verts)</t>
  </si>
  <si>
    <t xml:space="preserve">Alkuperäinen pakkaus 500 g</t>
  </si>
  <si>
    <t xml:space="preserve">Makea maissi</t>
  </si>
  <si>
    <t xml:space="preserve">Peruna-sipuli sekoitus</t>
  </si>
  <si>
    <t xml:space="preserve">Alkuperäinen pakkaus 1 kg</t>
  </si>
  <si>
    <t xml:space="preserve">Hakattu pinaatti</t>
  </si>
  <si>
    <t xml:space="preserve">Vihannessekoitus</t>
  </si>
  <si>
    <t xml:space="preserve">Alkuperäinen pakkaus 250 g</t>
  </si>
  <si>
    <t xml:space="preserve">Bataattikuutiot</t>
  </si>
  <si>
    <t xml:space="preserve">Keittojuurekset (peruna, lanttu, porkkana, palsternakka, purjo)</t>
  </si>
  <si>
    <t xml:space="preserve">Parsakaali</t>
  </si>
  <si>
    <t xml:space="preserve">Kesäkurpitsa, raastettu</t>
  </si>
  <si>
    <t xml:space="preserve">Kesäkurpitsa, kuutioitu</t>
  </si>
  <si>
    <t xml:space="preserve">Leivonta</t>
  </si>
  <si>
    <t xml:space="preserve">Piirakkataikina, pyöreä</t>
  </si>
  <si>
    <t xml:space="preserve">Avaamaton; laktoositon</t>
  </si>
  <si>
    <t xml:space="preserve">Pizzapohjat (4 kpl)</t>
  </si>
  <si>
    <t xml:space="preserve">Liha</t>
  </si>
  <si>
    <t xml:space="preserve">Poron kuivaliha</t>
  </si>
  <si>
    <t xml:space="preserve">2 erää</t>
  </si>
  <si>
    <t xml:space="preserve">Kala</t>
  </si>
  <si>
    <t xml:space="preserve">Lohifilee</t>
  </si>
  <si>
    <t xml:space="preserve">Yhteenveto</t>
  </si>
  <si>
    <t xml:space="preserve">Kuiva-aineet (Inventaario)</t>
  </si>
  <si>
    <t xml:space="preserve">Nimikkeitä</t>
  </si>
  <si>
    <t xml:space="preserve">Jäljellä yhteensä (g)</t>
  </si>
  <si>
    <t xml:space="preserve">Yhteensä kuivat</t>
  </si>
  <si>
    <t xml:space="preserve">Pakastin</t>
  </si>
  <si>
    <t xml:space="preserve">Määrä yhteensä (yks. vaihtelee)</t>
  </si>
  <si>
    <t xml:space="preserve">Yhteensä pakastin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</si>
</sst>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&quot; g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1F6FB8"/>
      </patternFill>
    </fill>
    <fill>
      <patternFill patternType="solid">
        <fgColor rgb="FFF2F2F2"/>
        <bgColor rgb="FFFFFFFF"/>
      </patternFill>
    </fill>
    <fill>
      <patternFill patternType="solid">
        <fgColor rgb="FF1F6FB8"/>
        <bgColor rgb="FF30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B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1F6F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500</v>
      </c>
      <c r="E2" s="2" t="n">
        <v>1</v>
      </c>
      <c r="F2" s="2" t="s">
        <v>12</v>
      </c>
      <c r="G2" s="2" t="n">
        <v>500</v>
      </c>
      <c r="H2" s="2"/>
      <c r="I2" s="2" t="s">
        <v>13</v>
      </c>
    </row>
    <row r="3" customFormat="false" ht="15" hidden="false" customHeight="false" outlineLevel="0" collapsed="false">
      <c r="A3" s="3" t="s">
        <v>9</v>
      </c>
      <c r="B3" s="3" t="s">
        <v>14</v>
      </c>
      <c r="C3" s="3" t="s">
        <v>15</v>
      </c>
      <c r="D3" s="3" t="n">
        <v>1000</v>
      </c>
      <c r="E3" s="3" t="n">
        <v>1</v>
      </c>
      <c r="F3" s="3" t="s">
        <v>16</v>
      </c>
      <c r="G3" s="3" t="n">
        <v>600</v>
      </c>
      <c r="H3" s="3"/>
      <c r="I3" s="3"/>
    </row>
    <row r="4" customFormat="false" ht="15" hidden="false" customHeight="false" outlineLevel="0" collapsed="false">
      <c r="A4" s="2" t="s">
        <v>9</v>
      </c>
      <c r="B4" s="2" t="s">
        <v>17</v>
      </c>
      <c r="C4" s="2" t="s">
        <v>18</v>
      </c>
      <c r="D4" s="2" t="n">
        <v>500</v>
      </c>
      <c r="E4" s="2" t="n">
        <v>1</v>
      </c>
      <c r="F4" s="2" t="s">
        <v>16</v>
      </c>
      <c r="G4" s="2" t="n">
        <v>200</v>
      </c>
      <c r="H4" s="2"/>
      <c r="I4" s="2"/>
    </row>
    <row r="5" customFormat="false" ht="15" hidden="false" customHeight="false" outlineLevel="0" collapsed="false">
      <c r="A5" s="3" t="s">
        <v>9</v>
      </c>
      <c r="B5" s="3" t="s">
        <v>19</v>
      </c>
      <c r="C5" s="3" t="s">
        <v>20</v>
      </c>
      <c r="D5" s="3" t="n">
        <v>350</v>
      </c>
      <c r="E5" s="3" t="n">
        <v>1</v>
      </c>
      <c r="F5" s="3" t="s">
        <v>16</v>
      </c>
      <c r="G5" s="3" t="n">
        <v>115</v>
      </c>
      <c r="H5" s="3"/>
      <c r="I5" s="3"/>
    </row>
    <row r="6" customFormat="false" ht="15" hidden="false" customHeight="false" outlineLevel="0" collapsed="false">
      <c r="A6" s="2" t="s">
        <v>9</v>
      </c>
      <c r="B6" s="2" t="s">
        <v>21</v>
      </c>
      <c r="C6" s="2" t="s">
        <v>20</v>
      </c>
      <c r="D6" s="2" t="n">
        <v>400</v>
      </c>
      <c r="E6" s="2" t="n">
        <v>1</v>
      </c>
      <c r="F6" s="2" t="s">
        <v>16</v>
      </c>
      <c r="G6" s="2" t="n">
        <v>130</v>
      </c>
      <c r="H6" s="2"/>
      <c r="I6" s="2"/>
    </row>
    <row r="7" customFormat="false" ht="15" hidden="false" customHeight="false" outlineLevel="0" collapsed="false">
      <c r="A7" s="3" t="s">
        <v>9</v>
      </c>
      <c r="B7" s="3" t="s">
        <v>22</v>
      </c>
      <c r="C7" s="3" t="s">
        <v>23</v>
      </c>
      <c r="D7" s="3" t="n">
        <v>250</v>
      </c>
      <c r="E7" s="3" t="n">
        <v>1</v>
      </c>
      <c r="F7" s="3" t="s">
        <v>16</v>
      </c>
      <c r="G7" s="3" t="n">
        <v>140</v>
      </c>
      <c r="H7" s="3"/>
      <c r="I7" s="3"/>
    </row>
    <row r="8" customFormat="false" ht="15" hidden="false" customHeight="false" outlineLevel="0" collapsed="false">
      <c r="A8" s="2" t="s">
        <v>9</v>
      </c>
      <c r="B8" s="2" t="s">
        <v>24</v>
      </c>
      <c r="C8" s="2"/>
      <c r="D8" s="2" t="n">
        <v>200</v>
      </c>
      <c r="E8" s="2" t="n">
        <v>1</v>
      </c>
      <c r="F8" s="2" t="s">
        <v>16</v>
      </c>
      <c r="G8" s="2" t="n">
        <v>110</v>
      </c>
      <c r="H8" s="2"/>
      <c r="I8" s="2"/>
    </row>
    <row r="9" customFormat="false" ht="15" hidden="false" customHeight="false" outlineLevel="0" collapsed="false">
      <c r="A9" s="3" t="s">
        <v>9</v>
      </c>
      <c r="B9" s="3" t="s">
        <v>25</v>
      </c>
      <c r="C9" s="3" t="s">
        <v>26</v>
      </c>
      <c r="D9" s="3" t="n">
        <v>400</v>
      </c>
      <c r="E9" s="3" t="n">
        <v>1</v>
      </c>
      <c r="F9" s="3" t="s">
        <v>16</v>
      </c>
      <c r="G9" s="3" t="n">
        <v>220</v>
      </c>
      <c r="H9" s="3"/>
      <c r="I9" s="3" t="s">
        <v>27</v>
      </c>
    </row>
    <row r="10" customFormat="false" ht="26.85" hidden="false" customHeight="false" outlineLevel="0" collapsed="false">
      <c r="A10" s="2" t="s">
        <v>9</v>
      </c>
      <c r="B10" s="2" t="s">
        <v>28</v>
      </c>
      <c r="C10" s="2"/>
      <c r="D10" s="2"/>
      <c r="E10" s="2" t="n">
        <v>3</v>
      </c>
      <c r="F10" s="2" t="s">
        <v>16</v>
      </c>
      <c r="G10" s="2" t="n">
        <v>255</v>
      </c>
      <c r="H10" s="2"/>
      <c r="I10" s="2" t="s">
        <v>29</v>
      </c>
    </row>
    <row r="11" customFormat="false" ht="15" hidden="false" customHeight="false" outlineLevel="0" collapsed="false">
      <c r="A11" s="3" t="s">
        <v>9</v>
      </c>
      <c r="B11" s="3" t="s">
        <v>30</v>
      </c>
      <c r="C11" s="3"/>
      <c r="D11" s="3" t="n">
        <v>85</v>
      </c>
      <c r="E11" s="3" t="n">
        <v>1</v>
      </c>
      <c r="F11" s="3" t="s">
        <v>16</v>
      </c>
      <c r="G11" s="3" t="n">
        <v>85</v>
      </c>
      <c r="H11" s="3"/>
      <c r="I11" s="3" t="s">
        <v>31</v>
      </c>
    </row>
    <row r="12" customFormat="false" ht="15" hidden="false" customHeight="false" outlineLevel="0" collapsed="false">
      <c r="A12" s="2" t="s">
        <v>32</v>
      </c>
      <c r="B12" s="2" t="s">
        <v>33</v>
      </c>
      <c r="C12" s="2" t="s">
        <v>34</v>
      </c>
      <c r="D12" s="2" t="n">
        <v>500</v>
      </c>
      <c r="E12" s="2" t="n">
        <v>1</v>
      </c>
      <c r="F12" s="2" t="s">
        <v>12</v>
      </c>
      <c r="G12" s="2" t="n">
        <v>500</v>
      </c>
      <c r="H12" s="2"/>
      <c r="I12" s="2"/>
    </row>
    <row r="13" customFormat="false" ht="15" hidden="false" customHeight="false" outlineLevel="0" collapsed="false">
      <c r="A13" s="3" t="s">
        <v>32</v>
      </c>
      <c r="B13" s="3" t="s">
        <v>35</v>
      </c>
      <c r="C13" s="3"/>
      <c r="D13" s="3" t="n">
        <v>1000</v>
      </c>
      <c r="E13" s="3" t="n">
        <v>1</v>
      </c>
      <c r="F13" s="3" t="s">
        <v>16</v>
      </c>
      <c r="G13" s="3" t="n">
        <v>750</v>
      </c>
      <c r="H13" s="3"/>
      <c r="I13" s="3"/>
    </row>
    <row r="14" customFormat="false" ht="15" hidden="false" customHeight="false" outlineLevel="0" collapsed="false">
      <c r="A14" s="2" t="s">
        <v>32</v>
      </c>
      <c r="B14" s="2" t="s">
        <v>36</v>
      </c>
      <c r="C14" s="2" t="s">
        <v>11</v>
      </c>
      <c r="D14" s="2" t="n">
        <v>1000</v>
      </c>
      <c r="E14" s="2" t="n">
        <v>1</v>
      </c>
      <c r="F14" s="2" t="s">
        <v>16</v>
      </c>
      <c r="G14" s="2" t="n">
        <v>330</v>
      </c>
      <c r="H14" s="2"/>
      <c r="I14" s="2"/>
    </row>
    <row r="15" customFormat="false" ht="15" hidden="false" customHeight="false" outlineLevel="0" collapsed="false">
      <c r="A15" s="3" t="s">
        <v>32</v>
      </c>
      <c r="B15" s="3" t="s">
        <v>37</v>
      </c>
      <c r="C15" s="3" t="s">
        <v>38</v>
      </c>
      <c r="D15" s="3" t="n">
        <v>1000</v>
      </c>
      <c r="E15" s="3" t="n">
        <v>1</v>
      </c>
      <c r="F15" s="3" t="s">
        <v>16</v>
      </c>
      <c r="G15" s="3" t="n">
        <v>330</v>
      </c>
      <c r="H15" s="3"/>
      <c r="I15" s="3"/>
    </row>
    <row r="16" customFormat="false" ht="15" hidden="false" customHeight="false" outlineLevel="0" collapsed="false">
      <c r="A16" s="2" t="s">
        <v>32</v>
      </c>
      <c r="B16" s="2" t="s">
        <v>39</v>
      </c>
      <c r="C16" s="2" t="s">
        <v>40</v>
      </c>
      <c r="D16" s="2" t="n">
        <v>10000</v>
      </c>
      <c r="E16" s="2" t="n">
        <v>1</v>
      </c>
      <c r="F16" s="2" t="s">
        <v>12</v>
      </c>
      <c r="G16" s="2" t="n">
        <v>10000</v>
      </c>
      <c r="H16" s="2"/>
      <c r="I16" s="2" t="s">
        <v>41</v>
      </c>
    </row>
    <row r="17" customFormat="false" ht="15" hidden="false" customHeight="false" outlineLevel="0" collapsed="false">
      <c r="A17" s="3" t="s">
        <v>42</v>
      </c>
      <c r="B17" s="3" t="s">
        <v>43</v>
      </c>
      <c r="C17" s="3" t="s">
        <v>44</v>
      </c>
      <c r="D17" s="3" t="n">
        <v>600</v>
      </c>
      <c r="E17" s="3" t="n">
        <v>1</v>
      </c>
      <c r="F17" s="3" t="s">
        <v>12</v>
      </c>
      <c r="G17" s="3" t="n">
        <v>600</v>
      </c>
      <c r="H17" s="3"/>
      <c r="I17" s="3"/>
    </row>
    <row r="18" customFormat="false" ht="15" hidden="false" customHeight="false" outlineLevel="0" collapsed="false">
      <c r="A18" s="2" t="s">
        <v>42</v>
      </c>
      <c r="B18" s="2" t="s">
        <v>43</v>
      </c>
      <c r="C18" s="2" t="s">
        <v>44</v>
      </c>
      <c r="D18" s="2" t="n">
        <v>600</v>
      </c>
      <c r="E18" s="2" t="n">
        <v>1</v>
      </c>
      <c r="F18" s="2" t="s">
        <v>16</v>
      </c>
      <c r="G18" s="2" t="n">
        <v>300</v>
      </c>
      <c r="H18" s="2"/>
      <c r="I18" s="2"/>
    </row>
    <row r="19" customFormat="false" ht="15" hidden="false" customHeight="false" outlineLevel="0" collapsed="false">
      <c r="A19" s="3" t="s">
        <v>42</v>
      </c>
      <c r="B19" s="3" t="s">
        <v>45</v>
      </c>
      <c r="C19" s="3" t="s">
        <v>38</v>
      </c>
      <c r="D19" s="3" t="n">
        <v>500</v>
      </c>
      <c r="E19" s="3" t="n">
        <v>1</v>
      </c>
      <c r="F19" s="3" t="s">
        <v>16</v>
      </c>
      <c r="G19" s="3" t="n">
        <v>250</v>
      </c>
      <c r="H19" s="3"/>
      <c r="I19" s="3"/>
    </row>
    <row r="20" customFormat="false" ht="15" hidden="false" customHeight="false" outlineLevel="0" collapsed="false">
      <c r="A20" s="2" t="s">
        <v>42</v>
      </c>
      <c r="B20" s="2" t="s">
        <v>46</v>
      </c>
      <c r="C20" s="2" t="s">
        <v>47</v>
      </c>
      <c r="D20" s="2" t="n">
        <v>950</v>
      </c>
      <c r="E20" s="2" t="n">
        <v>1</v>
      </c>
      <c r="F20" s="2" t="s">
        <v>16</v>
      </c>
      <c r="G20" s="2" t="n">
        <v>240</v>
      </c>
      <c r="H20" s="2"/>
      <c r="I20" s="2"/>
    </row>
    <row r="21" customFormat="false" ht="15" hidden="false" customHeight="false" outlineLevel="0" collapsed="false">
      <c r="A21" s="3" t="s">
        <v>42</v>
      </c>
      <c r="B21" s="3" t="s">
        <v>48</v>
      </c>
      <c r="C21" s="3" t="s">
        <v>11</v>
      </c>
      <c r="D21" s="3" t="n">
        <v>500</v>
      </c>
      <c r="E21" s="3" t="n">
        <v>1</v>
      </c>
      <c r="F21" s="3" t="s">
        <v>16</v>
      </c>
      <c r="G21" s="3" t="n">
        <v>250</v>
      </c>
      <c r="H21" s="3"/>
      <c r="I21" s="3"/>
    </row>
    <row r="22" customFormat="false" ht="15" hidden="false" customHeight="false" outlineLevel="0" collapsed="false">
      <c r="A22" s="2" t="s">
        <v>42</v>
      </c>
      <c r="B22" s="2" t="s">
        <v>49</v>
      </c>
      <c r="C22" s="2" t="s">
        <v>50</v>
      </c>
      <c r="D22" s="2" t="n">
        <v>1000</v>
      </c>
      <c r="E22" s="2" t="n">
        <v>1</v>
      </c>
      <c r="F22" s="2" t="s">
        <v>16</v>
      </c>
      <c r="G22" s="2" t="n">
        <v>900</v>
      </c>
      <c r="H22" s="2"/>
      <c r="I22" s="2"/>
    </row>
    <row r="23" customFormat="false" ht="15" hidden="false" customHeight="false" outlineLevel="0" collapsed="false">
      <c r="A23" s="3" t="s">
        <v>42</v>
      </c>
      <c r="B23" s="3" t="s">
        <v>51</v>
      </c>
      <c r="C23" s="3" t="s">
        <v>50</v>
      </c>
      <c r="D23" s="3" t="n">
        <v>1000</v>
      </c>
      <c r="E23" s="3" t="n">
        <v>1</v>
      </c>
      <c r="F23" s="3" t="s">
        <v>16</v>
      </c>
      <c r="G23" s="3" t="n">
        <v>900</v>
      </c>
      <c r="H23" s="3"/>
      <c r="I23" s="3"/>
    </row>
    <row r="24" customFormat="false" ht="15" hidden="false" customHeight="false" outlineLevel="0" collapsed="false">
      <c r="A24" s="2" t="s">
        <v>42</v>
      </c>
      <c r="B24" s="2" t="s">
        <v>52</v>
      </c>
      <c r="C24" s="2" t="s">
        <v>50</v>
      </c>
      <c r="D24" s="2" t="n">
        <v>1000</v>
      </c>
      <c r="E24" s="2" t="n">
        <v>1</v>
      </c>
      <c r="F24" s="2" t="s">
        <v>16</v>
      </c>
      <c r="G24" s="2" t="n">
        <v>200</v>
      </c>
      <c r="H24" s="2"/>
      <c r="I24" s="2"/>
    </row>
    <row r="25" customFormat="false" ht="15" hidden="false" customHeight="false" outlineLevel="0" collapsed="false">
      <c r="A25" s="3" t="s">
        <v>42</v>
      </c>
      <c r="B25" s="3" t="s">
        <v>53</v>
      </c>
      <c r="C25" s="3" t="s">
        <v>50</v>
      </c>
      <c r="D25" s="3" t="n">
        <v>1000</v>
      </c>
      <c r="E25" s="3" t="n">
        <v>1</v>
      </c>
      <c r="F25" s="3" t="s">
        <v>16</v>
      </c>
      <c r="G25" s="3" t="n">
        <v>900</v>
      </c>
      <c r="H25" s="3"/>
      <c r="I25" s="3"/>
    </row>
    <row r="26" customFormat="false" ht="15" hidden="false" customHeight="false" outlineLevel="0" collapsed="false">
      <c r="A26" s="2" t="s">
        <v>54</v>
      </c>
      <c r="B26" s="2" t="s">
        <v>55</v>
      </c>
      <c r="C26" s="2" t="s">
        <v>11</v>
      </c>
      <c r="D26" s="2" t="n">
        <v>380</v>
      </c>
      <c r="E26" s="2" t="n">
        <v>1</v>
      </c>
      <c r="F26" s="2" t="s">
        <v>12</v>
      </c>
      <c r="G26" s="2" t="n">
        <v>380</v>
      </c>
      <c r="H26" s="2"/>
      <c r="I26" s="2" t="s">
        <v>56</v>
      </c>
    </row>
    <row r="27" customFormat="false" ht="15" hidden="false" customHeight="false" outlineLevel="0" collapsed="false">
      <c r="A27" s="3" t="s">
        <v>54</v>
      </c>
      <c r="B27" s="3" t="s">
        <v>57</v>
      </c>
      <c r="C27" s="3"/>
      <c r="D27" s="3" t="n">
        <v>400</v>
      </c>
      <c r="E27" s="3" t="n">
        <v>1</v>
      </c>
      <c r="F27" s="3" t="s">
        <v>12</v>
      </c>
      <c r="G27" s="3" t="n">
        <v>400</v>
      </c>
      <c r="H27" s="3"/>
      <c r="I27" s="3"/>
    </row>
    <row r="28" customFormat="false" ht="15" hidden="false" customHeight="false" outlineLevel="0" collapsed="false">
      <c r="A28" s="2" t="s">
        <v>54</v>
      </c>
      <c r="B28" s="2" t="s">
        <v>58</v>
      </c>
      <c r="C28" s="2" t="s">
        <v>59</v>
      </c>
      <c r="D28" s="2" t="n">
        <v>500</v>
      </c>
      <c r="E28" s="2" t="n">
        <v>1</v>
      </c>
      <c r="F28" s="2" t="s">
        <v>16</v>
      </c>
      <c r="G28" s="2" t="n">
        <v>165</v>
      </c>
      <c r="H28" s="2"/>
      <c r="I28" s="2"/>
    </row>
    <row r="29" customFormat="false" ht="15" hidden="false" customHeight="false" outlineLevel="0" collapsed="false">
      <c r="A29" s="3" t="s">
        <v>54</v>
      </c>
      <c r="B29" s="3" t="s">
        <v>60</v>
      </c>
      <c r="C29" s="3" t="s">
        <v>61</v>
      </c>
      <c r="D29" s="3" t="n">
        <v>380</v>
      </c>
      <c r="E29" s="3" t="n">
        <v>1</v>
      </c>
      <c r="F29" s="3" t="s">
        <v>12</v>
      </c>
      <c r="G29" s="3" t="n">
        <v>380</v>
      </c>
      <c r="H29" s="3"/>
      <c r="I29" s="3" t="s">
        <v>56</v>
      </c>
    </row>
    <row r="30" customFormat="false" ht="15" hidden="false" customHeight="false" outlineLevel="0" collapsed="false">
      <c r="A30" s="2" t="s">
        <v>54</v>
      </c>
      <c r="B30" s="2" t="s">
        <v>62</v>
      </c>
      <c r="C30" s="2" t="s">
        <v>15</v>
      </c>
      <c r="D30" s="2" t="n">
        <v>380</v>
      </c>
      <c r="E30" s="2" t="n">
        <v>1</v>
      </c>
      <c r="F30" s="2" t="s">
        <v>12</v>
      </c>
      <c r="G30" s="2" t="n">
        <v>380</v>
      </c>
      <c r="H30" s="2"/>
      <c r="I30" s="2" t="s">
        <v>56</v>
      </c>
    </row>
    <row r="31" customFormat="false" ht="15" hidden="false" customHeight="false" outlineLevel="0" collapsed="false">
      <c r="A31" s="3" t="s">
        <v>54</v>
      </c>
      <c r="B31" s="3" t="s">
        <v>63</v>
      </c>
      <c r="C31" s="3" t="s">
        <v>64</v>
      </c>
      <c r="D31" s="3" t="n">
        <v>500</v>
      </c>
      <c r="E31" s="3" t="n">
        <v>1</v>
      </c>
      <c r="F31" s="3" t="s">
        <v>16</v>
      </c>
      <c r="G31" s="3" t="n">
        <v>250</v>
      </c>
      <c r="H31" s="4" t="n">
        <v>45672</v>
      </c>
      <c r="I31" s="3" t="s">
        <v>65</v>
      </c>
    </row>
    <row r="32" customFormat="false" ht="15" hidden="false" customHeight="false" outlineLevel="0" collapsed="false">
      <c r="A32" s="2" t="s">
        <v>54</v>
      </c>
      <c r="B32" s="2" t="s">
        <v>66</v>
      </c>
      <c r="C32" s="2" t="s">
        <v>67</v>
      </c>
      <c r="D32" s="2" t="n">
        <v>400</v>
      </c>
      <c r="E32" s="2" t="n">
        <v>1</v>
      </c>
      <c r="F32" s="2" t="s">
        <v>16</v>
      </c>
      <c r="G32" s="2" t="n">
        <v>80</v>
      </c>
      <c r="H32" s="5" t="n">
        <v>45547</v>
      </c>
      <c r="I32" s="2" t="s">
        <v>68</v>
      </c>
    </row>
    <row r="33" customFormat="false" ht="15" hidden="false" customHeight="false" outlineLevel="0" collapsed="false">
      <c r="A33" s="3" t="s">
        <v>69</v>
      </c>
      <c r="B33" s="3" t="s">
        <v>70</v>
      </c>
      <c r="C33" s="3" t="s">
        <v>15</v>
      </c>
      <c r="D33" s="3" t="n">
        <v>2000</v>
      </c>
      <c r="E33" s="3" t="n">
        <v>1</v>
      </c>
      <c r="F33" s="3" t="s">
        <v>12</v>
      </c>
      <c r="G33" s="3" t="n">
        <v>2000</v>
      </c>
      <c r="H33" s="3"/>
      <c r="I33" s="3"/>
    </row>
    <row r="34" customFormat="false" ht="15" hidden="false" customHeight="false" outlineLevel="0" collapsed="false">
      <c r="A34" s="2" t="s">
        <v>69</v>
      </c>
      <c r="B34" s="2" t="s">
        <v>71</v>
      </c>
      <c r="C34" s="2" t="s">
        <v>59</v>
      </c>
      <c r="D34" s="2" t="n">
        <v>350</v>
      </c>
      <c r="E34" s="2" t="n">
        <v>1</v>
      </c>
      <c r="F34" s="2" t="s">
        <v>16</v>
      </c>
      <c r="G34" s="2" t="n">
        <v>175</v>
      </c>
      <c r="H34" s="2"/>
      <c r="I34" s="2"/>
    </row>
    <row r="35" customFormat="false" ht="15" hidden="false" customHeight="false" outlineLevel="0" collapsed="false">
      <c r="A35" s="3" t="s">
        <v>72</v>
      </c>
      <c r="B35" s="3" t="s">
        <v>73</v>
      </c>
      <c r="C35" s="3" t="s">
        <v>11</v>
      </c>
      <c r="D35" s="3" t="n">
        <v>390</v>
      </c>
      <c r="E35" s="3" t="n">
        <v>2</v>
      </c>
      <c r="F35" s="3" t="s">
        <v>12</v>
      </c>
      <c r="G35" s="3" t="n">
        <v>780</v>
      </c>
      <c r="H35" s="3"/>
      <c r="I35" s="3" t="s">
        <v>74</v>
      </c>
    </row>
    <row r="36" customFormat="false" ht="26.85" hidden="false" customHeight="false" outlineLevel="0" collapsed="false">
      <c r="A36" s="2" t="s">
        <v>72</v>
      </c>
      <c r="B36" s="2" t="s">
        <v>75</v>
      </c>
      <c r="C36" s="2" t="s">
        <v>61</v>
      </c>
      <c r="D36" s="2" t="n">
        <v>390</v>
      </c>
      <c r="E36" s="2" t="n">
        <v>1</v>
      </c>
      <c r="F36" s="2" t="s">
        <v>12</v>
      </c>
      <c r="G36" s="2" t="n">
        <v>390</v>
      </c>
      <c r="H36" s="2"/>
      <c r="I36" s="2"/>
    </row>
    <row r="37" customFormat="false" ht="15" hidden="false" customHeight="false" outlineLevel="0" collapsed="false">
      <c r="A37" s="3" t="s">
        <v>76</v>
      </c>
      <c r="B37" s="3" t="s">
        <v>77</v>
      </c>
      <c r="C37" s="3" t="s">
        <v>78</v>
      </c>
      <c r="D37" s="3" t="n">
        <v>125</v>
      </c>
      <c r="E37" s="3" t="n">
        <v>1</v>
      </c>
      <c r="F37" s="3" t="s">
        <v>16</v>
      </c>
      <c r="G37" s="3" t="n">
        <v>70</v>
      </c>
      <c r="H37" s="3"/>
      <c r="I37" s="3" t="s">
        <v>79</v>
      </c>
    </row>
    <row r="38" customFormat="false" ht="15" hidden="false" customHeight="false" outlineLevel="0" collapsed="false">
      <c r="A38" s="2" t="s">
        <v>76</v>
      </c>
      <c r="B38" s="2" t="s">
        <v>80</v>
      </c>
      <c r="C38" s="2"/>
      <c r="D38" s="2" t="n">
        <v>100</v>
      </c>
      <c r="E38" s="2" t="n">
        <v>1</v>
      </c>
      <c r="F38" s="2" t="s">
        <v>16</v>
      </c>
      <c r="G38" s="2" t="n">
        <v>55</v>
      </c>
      <c r="H38" s="2"/>
      <c r="I38" s="2"/>
    </row>
    <row r="39" customFormat="false" ht="15" hidden="false" customHeight="false" outlineLevel="0" collapsed="false">
      <c r="A39" s="3" t="s">
        <v>76</v>
      </c>
      <c r="B39" s="3" t="s">
        <v>81</v>
      </c>
      <c r="C39" s="3" t="s">
        <v>82</v>
      </c>
      <c r="D39" s="3" t="n">
        <v>50</v>
      </c>
      <c r="E39" s="3" t="n">
        <v>1</v>
      </c>
      <c r="F39" s="3" t="s">
        <v>16</v>
      </c>
      <c r="G39" s="3" t="n">
        <v>25</v>
      </c>
      <c r="H39" s="3"/>
      <c r="I39" s="3" t="s">
        <v>83</v>
      </c>
    </row>
    <row r="40" customFormat="false" ht="26.85" hidden="false" customHeight="false" outlineLevel="0" collapsed="false">
      <c r="A40" s="2" t="s">
        <v>76</v>
      </c>
      <c r="B40" s="2" t="s">
        <v>84</v>
      </c>
      <c r="C40" s="2"/>
      <c r="D40" s="2"/>
      <c r="E40" s="2" t="n">
        <v>1</v>
      </c>
      <c r="F40" s="2" t="s">
        <v>16</v>
      </c>
      <c r="G40" s="2"/>
      <c r="H40" s="2"/>
      <c r="I40" s="2" t="s">
        <v>85</v>
      </c>
    </row>
    <row r="41" customFormat="false" ht="15" hidden="false" customHeight="false" outlineLevel="0" collapsed="false">
      <c r="A41" s="3" t="s">
        <v>86</v>
      </c>
      <c r="B41" s="3" t="s">
        <v>87</v>
      </c>
      <c r="C41" s="3" t="s">
        <v>88</v>
      </c>
      <c r="D41" s="3" t="n">
        <v>300</v>
      </c>
      <c r="E41" s="3" t="n">
        <v>1</v>
      </c>
      <c r="F41" s="3" t="s">
        <v>12</v>
      </c>
      <c r="G41" s="3" t="n">
        <v>300</v>
      </c>
      <c r="H41" s="3"/>
      <c r="I41" s="3"/>
    </row>
    <row r="42" customFormat="false" ht="26.85" hidden="false" customHeight="false" outlineLevel="0" collapsed="false">
      <c r="A42" s="2" t="s">
        <v>86</v>
      </c>
      <c r="B42" s="2" t="s">
        <v>89</v>
      </c>
      <c r="C42" s="2"/>
      <c r="D42" s="2"/>
      <c r="E42" s="2" t="n">
        <v>3</v>
      </c>
      <c r="F42" s="2" t="s">
        <v>16</v>
      </c>
      <c r="G42" s="2" t="n">
        <v>900</v>
      </c>
      <c r="H42" s="2"/>
      <c r="I42" s="2" t="s">
        <v>90</v>
      </c>
    </row>
    <row r="43" customFormat="false" ht="15" hidden="false" customHeight="false" outlineLevel="0" collapsed="false">
      <c r="A43" s="3" t="s">
        <v>91</v>
      </c>
      <c r="B43" s="3" t="s">
        <v>92</v>
      </c>
      <c r="C43" s="3" t="s">
        <v>15</v>
      </c>
      <c r="D43" s="3" t="n">
        <v>280</v>
      </c>
      <c r="E43" s="3" t="n">
        <v>2</v>
      </c>
      <c r="F43" s="3" t="s">
        <v>12</v>
      </c>
      <c r="G43" s="3" t="n">
        <v>560</v>
      </c>
      <c r="H43" s="3"/>
      <c r="I43" s="3" t="s">
        <v>93</v>
      </c>
    </row>
    <row r="44" customFormat="false" ht="15" hidden="false" customHeight="false" outlineLevel="0" collapsed="false">
      <c r="A44" s="2" t="s">
        <v>91</v>
      </c>
      <c r="B44" s="2" t="s">
        <v>94</v>
      </c>
      <c r="C44" s="2" t="s">
        <v>95</v>
      </c>
      <c r="D44" s="2" t="n">
        <v>1250</v>
      </c>
      <c r="E44" s="2" t="n">
        <v>1</v>
      </c>
      <c r="F44" s="2" t="s">
        <v>16</v>
      </c>
      <c r="G44" s="2" t="n">
        <v>625</v>
      </c>
      <c r="H44" s="5" t="n">
        <v>46116</v>
      </c>
      <c r="I44" s="2" t="s">
        <v>96</v>
      </c>
    </row>
    <row r="45" customFormat="false" ht="15" hidden="false" customHeight="false" outlineLevel="0" collapsed="false">
      <c r="A45" s="3" t="s">
        <v>91</v>
      </c>
      <c r="B45" s="3" t="s">
        <v>97</v>
      </c>
      <c r="C45" s="3" t="s">
        <v>98</v>
      </c>
      <c r="D45" s="3" t="n">
        <v>500</v>
      </c>
      <c r="E45" s="3" t="n">
        <v>1</v>
      </c>
      <c r="F45" s="3" t="s">
        <v>16</v>
      </c>
      <c r="G45" s="3" t="n">
        <v>250</v>
      </c>
      <c r="H45" s="3"/>
      <c r="I45" s="3" t="s">
        <v>99</v>
      </c>
    </row>
    <row r="46" customFormat="false" ht="15" hidden="false" customHeight="false" outlineLevel="0" collapsed="false">
      <c r="A46" s="2" t="s">
        <v>91</v>
      </c>
      <c r="B46" s="2" t="s">
        <v>100</v>
      </c>
      <c r="C46" s="2" t="s">
        <v>101</v>
      </c>
      <c r="D46" s="2" t="n">
        <v>397</v>
      </c>
      <c r="E46" s="2" t="n">
        <v>1</v>
      </c>
      <c r="F46" s="2" t="s">
        <v>12</v>
      </c>
      <c r="G46" s="2" t="n">
        <v>397</v>
      </c>
      <c r="H46" s="2"/>
      <c r="I46" s="2" t="s">
        <v>102</v>
      </c>
    </row>
    <row r="47" customFormat="false" ht="15" hidden="false" customHeight="false" outlineLevel="0" collapsed="false">
      <c r="A47" s="3" t="s">
        <v>91</v>
      </c>
      <c r="B47" s="3" t="s">
        <v>103</v>
      </c>
      <c r="C47" s="3" t="s">
        <v>104</v>
      </c>
      <c r="D47" s="3" t="n">
        <v>100</v>
      </c>
      <c r="E47" s="3" t="n">
        <v>1</v>
      </c>
      <c r="F47" s="3" t="s">
        <v>16</v>
      </c>
      <c r="G47" s="3" t="n">
        <v>95</v>
      </c>
      <c r="H47" s="3"/>
      <c r="I47" s="3" t="s">
        <v>105</v>
      </c>
    </row>
    <row r="48" customFormat="false" ht="15" hidden="false" customHeight="false" outlineLevel="0" collapsed="false">
      <c r="A48" s="2" t="s">
        <v>91</v>
      </c>
      <c r="B48" s="2" t="s">
        <v>106</v>
      </c>
      <c r="C48" s="2" t="s">
        <v>107</v>
      </c>
      <c r="D48" s="2" t="n">
        <v>125</v>
      </c>
      <c r="E48" s="2" t="n">
        <v>1</v>
      </c>
      <c r="F48" s="2" t="s">
        <v>16</v>
      </c>
      <c r="G48" s="2" t="n">
        <v>25</v>
      </c>
      <c r="H48" s="2"/>
      <c r="I48" s="2" t="s">
        <v>108</v>
      </c>
    </row>
    <row r="49" customFormat="false" ht="15" hidden="false" customHeight="false" outlineLevel="0" collapsed="false">
      <c r="A49" s="3" t="s">
        <v>91</v>
      </c>
      <c r="B49" s="3" t="s">
        <v>109</v>
      </c>
      <c r="C49" s="3" t="s">
        <v>110</v>
      </c>
      <c r="D49" s="3" t="n">
        <v>350</v>
      </c>
      <c r="E49" s="3" t="n">
        <v>1</v>
      </c>
      <c r="F49" s="3" t="s">
        <v>16</v>
      </c>
      <c r="G49" s="3" t="n">
        <v>70</v>
      </c>
      <c r="H49" s="3"/>
      <c r="I49" s="3" t="s">
        <v>111</v>
      </c>
    </row>
    <row r="51" customFormat="false" ht="15" hidden="false" customHeight="false" outlineLevel="0" collapsed="false">
      <c r="F51" s="6" t="s">
        <v>112</v>
      </c>
      <c r="G51" s="7" t="n">
        <f aca="false">SUM(G2:G49)</f>
        <v>27557</v>
      </c>
    </row>
  </sheetData>
  <autoFilter ref="A1:I49"/>
  <dataValidations count="1">
    <dataValidation allowBlank="true" errorStyle="stop" operator="between" showDropDown="false" showErrorMessage="false" showInputMessage="false" sqref="F2:F1000" type="list">
      <formula1>"Avaamaton,Avattu"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8" t="s">
        <v>0</v>
      </c>
      <c r="B1" s="8" t="s">
        <v>1</v>
      </c>
      <c r="C1" s="8" t="s">
        <v>2</v>
      </c>
      <c r="D1" s="8" t="s">
        <v>113</v>
      </c>
      <c r="E1" s="8" t="s">
        <v>114</v>
      </c>
      <c r="F1" s="8" t="s">
        <v>115</v>
      </c>
      <c r="G1" s="8" t="s">
        <v>7</v>
      </c>
      <c r="H1" s="8" t="s">
        <v>8</v>
      </c>
    </row>
    <row r="2" customFormat="false" ht="15" hidden="false" customHeight="false" outlineLevel="0" collapsed="false">
      <c r="A2" s="2" t="s">
        <v>116</v>
      </c>
      <c r="B2" s="2" t="s">
        <v>117</v>
      </c>
      <c r="C2" s="2"/>
      <c r="D2" s="2" t="n">
        <v>1200</v>
      </c>
      <c r="E2" s="2" t="s">
        <v>118</v>
      </c>
      <c r="F2" s="2"/>
      <c r="G2" s="2"/>
      <c r="H2" s="2" t="s">
        <v>119</v>
      </c>
    </row>
    <row r="3" customFormat="false" ht="26.85" hidden="false" customHeight="false" outlineLevel="0" collapsed="false">
      <c r="A3" s="3" t="s">
        <v>116</v>
      </c>
      <c r="B3" s="3" t="s">
        <v>120</v>
      </c>
      <c r="C3" s="3"/>
      <c r="D3" s="3" t="n">
        <v>840</v>
      </c>
      <c r="E3" s="3" t="s">
        <v>118</v>
      </c>
      <c r="F3" s="3"/>
      <c r="G3" s="3"/>
      <c r="H3" s="3" t="s">
        <v>121</v>
      </c>
    </row>
    <row r="4" customFormat="false" ht="15" hidden="false" customHeight="false" outlineLevel="0" collapsed="false">
      <c r="A4" s="2" t="s">
        <v>122</v>
      </c>
      <c r="B4" s="2" t="s">
        <v>123</v>
      </c>
      <c r="C4" s="2"/>
      <c r="D4" s="2" t="n">
        <v>3000</v>
      </c>
      <c r="E4" s="2" t="s">
        <v>118</v>
      </c>
      <c r="F4" s="2"/>
      <c r="G4" s="2"/>
      <c r="H4" s="2"/>
    </row>
    <row r="5" customFormat="false" ht="15" hidden="false" customHeight="false" outlineLevel="0" collapsed="false">
      <c r="A5" s="3" t="s">
        <v>122</v>
      </c>
      <c r="B5" s="3" t="s">
        <v>124</v>
      </c>
      <c r="C5" s="3"/>
      <c r="D5" s="3" t="n">
        <v>320</v>
      </c>
      <c r="E5" s="3" t="s">
        <v>118</v>
      </c>
      <c r="F5" s="3"/>
      <c r="G5" s="3"/>
      <c r="H5" s="3"/>
    </row>
    <row r="6" customFormat="false" ht="26.85" hidden="false" customHeight="false" outlineLevel="0" collapsed="false">
      <c r="A6" s="2" t="s">
        <v>125</v>
      </c>
      <c r="B6" s="2" t="s">
        <v>126</v>
      </c>
      <c r="C6" s="2"/>
      <c r="D6" s="2" t="n">
        <v>311</v>
      </c>
      <c r="E6" s="2" t="s">
        <v>118</v>
      </c>
      <c r="F6" s="2"/>
      <c r="G6" s="2"/>
      <c r="H6" s="2" t="s">
        <v>127</v>
      </c>
    </row>
    <row r="7" customFormat="false" ht="15" hidden="false" customHeight="false" outlineLevel="0" collapsed="false">
      <c r="A7" s="3" t="s">
        <v>125</v>
      </c>
      <c r="B7" s="3" t="s">
        <v>128</v>
      </c>
      <c r="C7" s="3"/>
      <c r="D7" s="3" t="n">
        <v>450</v>
      </c>
      <c r="E7" s="3" t="s">
        <v>118</v>
      </c>
      <c r="F7" s="3"/>
      <c r="G7" s="3"/>
      <c r="H7" s="3" t="s">
        <v>12</v>
      </c>
    </row>
    <row r="8" customFormat="false" ht="15" hidden="false" customHeight="false" outlineLevel="0" collapsed="false">
      <c r="A8" s="2" t="s">
        <v>125</v>
      </c>
      <c r="B8" s="2" t="s">
        <v>129</v>
      </c>
      <c r="C8" s="2" t="s">
        <v>50</v>
      </c>
      <c r="D8" s="2" t="n">
        <v>200</v>
      </c>
      <c r="E8" s="2" t="s">
        <v>118</v>
      </c>
      <c r="F8" s="2"/>
      <c r="G8" s="2"/>
      <c r="H8" s="2" t="s">
        <v>130</v>
      </c>
    </row>
    <row r="9" customFormat="false" ht="15" hidden="false" customHeight="false" outlineLevel="0" collapsed="false">
      <c r="A9" s="3" t="s">
        <v>125</v>
      </c>
      <c r="B9" s="3" t="s">
        <v>131</v>
      </c>
      <c r="C9" s="3"/>
      <c r="D9" s="3" t="n">
        <v>850</v>
      </c>
      <c r="E9" s="3" t="s">
        <v>118</v>
      </c>
      <c r="F9" s="3"/>
      <c r="G9" s="3"/>
      <c r="H9" s="3" t="s">
        <v>130</v>
      </c>
    </row>
    <row r="10" customFormat="false" ht="15" hidden="false" customHeight="false" outlineLevel="0" collapsed="false">
      <c r="A10" s="2" t="s">
        <v>125</v>
      </c>
      <c r="B10" s="2" t="s">
        <v>132</v>
      </c>
      <c r="C10" s="2" t="s">
        <v>50</v>
      </c>
      <c r="D10" s="2" t="n">
        <v>135</v>
      </c>
      <c r="E10" s="2" t="s">
        <v>118</v>
      </c>
      <c r="F10" s="2"/>
      <c r="G10" s="2"/>
      <c r="H10" s="2" t="s">
        <v>133</v>
      </c>
    </row>
    <row r="11" customFormat="false" ht="15" hidden="false" customHeight="false" outlineLevel="0" collapsed="false">
      <c r="A11" s="3" t="s">
        <v>125</v>
      </c>
      <c r="B11" s="3" t="s">
        <v>134</v>
      </c>
      <c r="C11" s="3"/>
      <c r="D11" s="3" t="n">
        <v>1154</v>
      </c>
      <c r="E11" s="3" t="s">
        <v>118</v>
      </c>
      <c r="F11" s="3"/>
      <c r="G11" s="3"/>
      <c r="H11" s="3"/>
    </row>
    <row r="12" customFormat="false" ht="26.85" hidden="false" customHeight="false" outlineLevel="0" collapsed="false">
      <c r="A12" s="2" t="s">
        <v>125</v>
      </c>
      <c r="B12" s="2" t="s">
        <v>135</v>
      </c>
      <c r="C12" s="2" t="s">
        <v>11</v>
      </c>
      <c r="D12" s="2" t="n">
        <v>750</v>
      </c>
      <c r="E12" s="2" t="s">
        <v>118</v>
      </c>
      <c r="F12" s="2"/>
      <c r="G12" s="2"/>
      <c r="H12" s="2" t="s">
        <v>12</v>
      </c>
    </row>
    <row r="13" customFormat="false" ht="15" hidden="false" customHeight="false" outlineLevel="0" collapsed="false">
      <c r="A13" s="3" t="s">
        <v>125</v>
      </c>
      <c r="B13" s="3" t="s">
        <v>136</v>
      </c>
      <c r="C13" s="3"/>
      <c r="D13" s="3" t="n">
        <v>500</v>
      </c>
      <c r="E13" s="3" t="s">
        <v>118</v>
      </c>
      <c r="F13" s="3"/>
      <c r="G13" s="3"/>
      <c r="H13" s="3" t="s">
        <v>12</v>
      </c>
    </row>
    <row r="14" customFormat="false" ht="15" hidden="false" customHeight="false" outlineLevel="0" collapsed="false">
      <c r="A14" s="2" t="s">
        <v>125</v>
      </c>
      <c r="B14" s="2" t="s">
        <v>137</v>
      </c>
      <c r="C14" s="2"/>
      <c r="D14" s="2" t="n">
        <v>1900</v>
      </c>
      <c r="E14" s="2" t="s">
        <v>118</v>
      </c>
      <c r="F14" s="2"/>
      <c r="G14" s="2"/>
      <c r="H14" s="2"/>
    </row>
    <row r="15" customFormat="false" ht="15" hidden="false" customHeight="false" outlineLevel="0" collapsed="false">
      <c r="A15" s="3" t="s">
        <v>125</v>
      </c>
      <c r="B15" s="3" t="s">
        <v>138</v>
      </c>
      <c r="C15" s="3"/>
      <c r="D15" s="3" t="n">
        <v>1600</v>
      </c>
      <c r="E15" s="3" t="s">
        <v>118</v>
      </c>
      <c r="F15" s="3"/>
      <c r="G15" s="3"/>
      <c r="H15" s="3"/>
    </row>
    <row r="16" customFormat="false" ht="15" hidden="false" customHeight="false" outlineLevel="0" collapsed="false">
      <c r="A16" s="2" t="s">
        <v>139</v>
      </c>
      <c r="B16" s="2" t="s">
        <v>140</v>
      </c>
      <c r="C16" s="2" t="s">
        <v>20</v>
      </c>
      <c r="D16" s="2" t="n">
        <v>380</v>
      </c>
      <c r="E16" s="2" t="s">
        <v>118</v>
      </c>
      <c r="F16" s="2"/>
      <c r="G16" s="2"/>
      <c r="H16" s="2" t="s">
        <v>141</v>
      </c>
    </row>
    <row r="17" customFormat="false" ht="15" hidden="false" customHeight="false" outlineLevel="0" collapsed="false">
      <c r="A17" s="3" t="s">
        <v>139</v>
      </c>
      <c r="B17" s="3" t="s">
        <v>142</v>
      </c>
      <c r="C17" s="3" t="s">
        <v>50</v>
      </c>
      <c r="D17" s="3" t="n">
        <v>360</v>
      </c>
      <c r="E17" s="3" t="s">
        <v>118</v>
      </c>
      <c r="F17" s="3"/>
      <c r="G17" s="3"/>
      <c r="H17" s="3" t="s">
        <v>12</v>
      </c>
    </row>
    <row r="18" customFormat="false" ht="15" hidden="false" customHeight="false" outlineLevel="0" collapsed="false">
      <c r="A18" s="2" t="s">
        <v>143</v>
      </c>
      <c r="B18" s="2" t="s">
        <v>144</v>
      </c>
      <c r="C18" s="2"/>
      <c r="D18" s="2" t="n">
        <v>679</v>
      </c>
      <c r="E18" s="2" t="s">
        <v>118</v>
      </c>
      <c r="F18" s="2"/>
      <c r="G18" s="2"/>
      <c r="H18" s="2" t="s">
        <v>145</v>
      </c>
    </row>
    <row r="19" customFormat="false" ht="15" hidden="false" customHeight="false" outlineLevel="0" collapsed="false">
      <c r="A19" s="3" t="s">
        <v>146</v>
      </c>
      <c r="B19" s="3" t="s">
        <v>147</v>
      </c>
      <c r="C19" s="3"/>
      <c r="D19" s="3" t="n">
        <v>1030</v>
      </c>
      <c r="E19" s="3" t="s">
        <v>118</v>
      </c>
      <c r="F19" s="3"/>
      <c r="G19" s="3"/>
      <c r="H19" s="3"/>
    </row>
  </sheetData>
  <autoFilter ref="A1:H19"/>
  <dataValidations count="1">
    <dataValidation allowBlank="true" errorStyle="stop" operator="between" showDropDown="false" showErrorMessage="false" showInputMessage="false" sqref="E2:E1000" type="list">
      <formula1>"g,kg,kpl,l,dl,ml"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32"/>
  </cols>
  <sheetData>
    <row r="1" customFormat="false" ht="17.35" hidden="false" customHeight="false" outlineLevel="0" collapsed="false">
      <c r="A1" s="9" t="s">
        <v>148</v>
      </c>
    </row>
    <row r="3" customFormat="false" ht="15" hidden="false" customHeight="false" outlineLevel="0" collapsed="false">
      <c r="A3" s="10" t="s">
        <v>149</v>
      </c>
    </row>
    <row r="4" customFormat="false" ht="15" hidden="false" customHeight="false" outlineLevel="0" collapsed="false">
      <c r="A4" s="1" t="s">
        <v>0</v>
      </c>
      <c r="B4" s="1" t="s">
        <v>150</v>
      </c>
      <c r="C4" s="1" t="s">
        <v>151</v>
      </c>
    </row>
    <row r="5" customFormat="false" ht="15" hidden="false" customHeight="false" outlineLevel="0" collapsed="false">
      <c r="A5" s="3" t="s">
        <v>9</v>
      </c>
      <c r="B5" s="3" t="n">
        <f aca="false">COUNTIF(Inventaario!A:A,"Pastat ja nuudelit")</f>
        <v>10</v>
      </c>
      <c r="C5" s="11" t="n">
        <f aca="false">SUMIFS(Inventaario!G:G,Inventaario!A:A,"Pastat ja nuudelit")</f>
        <v>2355</v>
      </c>
    </row>
    <row r="6" customFormat="false" ht="15" hidden="false" customHeight="false" outlineLevel="0" collapsed="false">
      <c r="A6" s="3" t="s">
        <v>32</v>
      </c>
      <c r="B6" s="3" t="n">
        <f aca="false">COUNTIF(Inventaario!A:A,"Riisit")</f>
        <v>5</v>
      </c>
      <c r="C6" s="11" t="n">
        <f aca="false">SUMIFS(Inventaario!G:G,Inventaario!A:A,"Riisit")</f>
        <v>11910</v>
      </c>
    </row>
    <row r="7" customFormat="false" ht="15" hidden="false" customHeight="false" outlineLevel="0" collapsed="false">
      <c r="A7" s="3" t="s">
        <v>42</v>
      </c>
      <c r="B7" s="3" t="n">
        <f aca="false">COUNTIF(Inventaario!A:A,"Jyvät ja muut viljat")</f>
        <v>9</v>
      </c>
      <c r="C7" s="11" t="n">
        <f aca="false">SUMIFS(Inventaario!G:G,Inventaario!A:A,"Jyvät ja muut viljat")</f>
        <v>4540</v>
      </c>
    </row>
    <row r="8" customFormat="false" ht="15" hidden="false" customHeight="false" outlineLevel="0" collapsed="false">
      <c r="A8" s="3" t="s">
        <v>54</v>
      </c>
      <c r="B8" s="3" t="n">
        <f aca="false">COUNTIF(Inventaario!A:A,"Palkokasvit")</f>
        <v>7</v>
      </c>
      <c r="C8" s="11" t="n">
        <f aca="false">SUMIFS(Inventaario!G:G,Inventaario!A:A,"Palkokasvit")</f>
        <v>2035</v>
      </c>
    </row>
    <row r="9" customFormat="false" ht="15" hidden="false" customHeight="false" outlineLevel="0" collapsed="false">
      <c r="A9" s="3" t="s">
        <v>69</v>
      </c>
      <c r="B9" s="3" t="n">
        <f aca="false">COUNTIF(Inventaario!A:A,"Jauhot")</f>
        <v>2</v>
      </c>
      <c r="C9" s="11" t="n">
        <f aca="false">SUMIFS(Inventaario!G:G,Inventaario!A:A,"Jauhot")</f>
        <v>2175</v>
      </c>
    </row>
    <row r="10" customFormat="false" ht="15" hidden="false" customHeight="false" outlineLevel="0" collapsed="false">
      <c r="A10" s="3" t="s">
        <v>72</v>
      </c>
      <c r="B10" s="3" t="n">
        <f aca="false">COUNTIF(Inventaario!A:A,"Säilyketomaatit")</f>
        <v>2</v>
      </c>
      <c r="C10" s="11" t="n">
        <f aca="false">SUMIFS(Inventaario!G:G,Inventaario!A:A,"Säilyketomaatit")</f>
        <v>1170</v>
      </c>
    </row>
    <row r="11" customFormat="false" ht="15" hidden="false" customHeight="false" outlineLevel="0" collapsed="false">
      <c r="A11" s="3" t="s">
        <v>76</v>
      </c>
      <c r="B11" s="3" t="n">
        <f aca="false">COUNTIF(Inventaario!A:A,"Aasialaiset / umami")</f>
        <v>4</v>
      </c>
      <c r="C11" s="11" t="n">
        <f aca="false">SUMIFS(Inventaario!G:G,Inventaario!A:A,"Aasialaiset / umami")</f>
        <v>150</v>
      </c>
    </row>
    <row r="12" customFormat="false" ht="15" hidden="false" customHeight="false" outlineLevel="0" collapsed="false">
      <c r="A12" s="3" t="s">
        <v>86</v>
      </c>
      <c r="B12" s="3" t="n">
        <f aca="false">COUNTIF(Inventaario!A:A,"Siemenet")</f>
        <v>2</v>
      </c>
      <c r="C12" s="11" t="n">
        <f aca="false">SUMIFS(Inventaario!G:G,Inventaario!A:A,"Siemenet")</f>
        <v>1200</v>
      </c>
    </row>
    <row r="13" customFormat="false" ht="15" hidden="false" customHeight="false" outlineLevel="0" collapsed="false">
      <c r="A13" s="3" t="s">
        <v>91</v>
      </c>
      <c r="B13" s="3" t="n">
        <f aca="false">COUNTIF(Inventaario!A:A,"Muut")</f>
        <v>7</v>
      </c>
      <c r="C13" s="11" t="n">
        <f aca="false">SUMIFS(Inventaario!G:G,Inventaario!A:A,"Muut")</f>
        <v>2022</v>
      </c>
    </row>
    <row r="14" customFormat="false" ht="15" hidden="false" customHeight="false" outlineLevel="0" collapsed="false">
      <c r="A14" s="3" t="s">
        <v>152</v>
      </c>
      <c r="B14" s="3" t="n">
        <f aca="false">SUM(B5:B13)</f>
        <v>48</v>
      </c>
      <c r="C14" s="11" t="n">
        <f aca="false">SUM(C5:C13)</f>
        <v>27557</v>
      </c>
    </row>
    <row r="17" customFormat="false" ht="15" hidden="false" customHeight="false" outlineLevel="0" collapsed="false">
      <c r="A17" s="10" t="s">
        <v>153</v>
      </c>
    </row>
    <row r="18" customFormat="false" ht="15" hidden="false" customHeight="false" outlineLevel="0" collapsed="false">
      <c r="A18" s="8" t="s">
        <v>0</v>
      </c>
      <c r="B18" s="8" t="s">
        <v>150</v>
      </c>
      <c r="C18" s="8" t="s">
        <v>154</v>
      </c>
    </row>
    <row r="19" customFormat="false" ht="15" hidden="false" customHeight="false" outlineLevel="0" collapsed="false">
      <c r="A19" s="3" t="s">
        <v>116</v>
      </c>
      <c r="B19" s="3" t="n">
        <f aca="false">COUNTIF(Pakastin!A:A,"Sienet")</f>
        <v>2</v>
      </c>
      <c r="C19" s="3" t="n">
        <f aca="false">SUMIFS(Pakastin!D:D,Pakastin!A:A,"Sienet")</f>
        <v>2040</v>
      </c>
    </row>
    <row r="20" customFormat="false" ht="15" hidden="false" customHeight="false" outlineLevel="0" collapsed="false">
      <c r="A20" s="3" t="s">
        <v>122</v>
      </c>
      <c r="B20" s="3" t="n">
        <f aca="false">COUNTIF(Pakastin!A:A,"Marjat ja hedelmät")</f>
        <v>2</v>
      </c>
      <c r="C20" s="3" t="n">
        <f aca="false">SUMIFS(Pakastin!D:D,Pakastin!A:A,"Marjat ja hedelmät")</f>
        <v>3320</v>
      </c>
    </row>
    <row r="21" customFormat="false" ht="15" hidden="false" customHeight="false" outlineLevel="0" collapsed="false">
      <c r="A21" s="3" t="s">
        <v>125</v>
      </c>
      <c r="B21" s="3" t="n">
        <f aca="false">COUNTIF(Pakastin!A:A,"Pakastevihannekset")</f>
        <v>10</v>
      </c>
      <c r="C21" s="3" t="n">
        <f aca="false">SUMIFS(Pakastin!D:D,Pakastin!A:A,"Pakastevihannekset")</f>
        <v>7850</v>
      </c>
    </row>
    <row r="22" customFormat="false" ht="15" hidden="false" customHeight="false" outlineLevel="0" collapsed="false">
      <c r="A22" s="3" t="s">
        <v>139</v>
      </c>
      <c r="B22" s="3" t="n">
        <f aca="false">COUNTIF(Pakastin!A:A,"Leivonta")</f>
        <v>2</v>
      </c>
      <c r="C22" s="3" t="n">
        <f aca="false">SUMIFS(Pakastin!D:D,Pakastin!A:A,"Leivonta")</f>
        <v>740</v>
      </c>
    </row>
    <row r="23" customFormat="false" ht="15" hidden="false" customHeight="false" outlineLevel="0" collapsed="false">
      <c r="A23" s="3" t="s">
        <v>143</v>
      </c>
      <c r="B23" s="3" t="n">
        <f aca="false">COUNTIF(Pakastin!A:A,"Liha")</f>
        <v>1</v>
      </c>
      <c r="C23" s="3" t="n">
        <f aca="false">SUMIFS(Pakastin!D:D,Pakastin!A:A,"Liha")</f>
        <v>679</v>
      </c>
    </row>
    <row r="24" customFormat="false" ht="15" hidden="false" customHeight="false" outlineLevel="0" collapsed="false">
      <c r="A24" s="3" t="s">
        <v>146</v>
      </c>
      <c r="B24" s="3" t="n">
        <f aca="false">COUNTIF(Pakastin!A:A,"Kala")</f>
        <v>1</v>
      </c>
      <c r="C24" s="3" t="n">
        <f aca="false">SUMIFS(Pakastin!D:D,Pakastin!A:A,"Kala")</f>
        <v>1030</v>
      </c>
    </row>
    <row r="25" customFormat="false" ht="15" hidden="false" customHeight="false" outlineLevel="0" collapsed="false">
      <c r="A25" s="3" t="s">
        <v>155</v>
      </c>
      <c r="B25" s="3" t="n">
        <f aca="false">SUM(B19:B24)</f>
        <v>18</v>
      </c>
      <c r="C2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2026-05-17T16:02:44Z</dcterms:created>
  <dc:creator>openpyxl</dc:creator>
  <dc:description/>
  <dc:language>en-US</dc:language>
  <cp:lastModifiedBy/>
  <dcterms:modified xsi:type="dcterms:W3CDTF">2026-05-17T16:02:44Z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